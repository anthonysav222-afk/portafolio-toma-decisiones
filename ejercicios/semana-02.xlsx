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\Downloads\"/>
    </mc:Choice>
  </mc:AlternateContent>
  <xr:revisionPtr revIDLastSave="0" documentId="8_{1D409803-77DC-4671-B872-40B73759EC60}" xr6:coauthVersionLast="47" xr6:coauthVersionMax="47" xr10:uidLastSave="{00000000-0000-0000-0000-000000000000}"/>
  <workbookProtection workbookAlgorithmName="SHA-512" workbookHashValue="tdlmtJl2nEOX5DLWbtgvn7kzdiUG6lOkvLgzVXdMi+/bq9bPmqOHkwZBQ9hiRk4noRo1jLrJL8lAhXAEQ9ztoQ==" workbookSaltValue="L4rsosH97Duk/6vcvJZutA==" workbookSpinCount="100000" lockStructure="1"/>
  <bookViews>
    <workbookView xWindow="-108" yWindow="-108" windowWidth="23256" windowHeight="12456" activeTab="5" xr2:uid="{F187E0BE-60BC-426E-BF76-F4EC5AD74789}"/>
  </bookViews>
  <sheets>
    <sheet name="Operaciones" sheetId="1" r:id="rId1"/>
    <sheet name="Parametros" sheetId="2" r:id="rId2"/>
    <sheet name="Resumen" sheetId="3" r:id="rId3"/>
    <sheet name="Escenarios" sheetId="4" r:id="rId4"/>
    <sheet name="Decisiones" sheetId="5" r:id="rId5"/>
    <sheet name="Evidencias" sheetId="6" r:id="rId6"/>
  </sheets>
  <definedNames>
    <definedName name="Cobertura_Stock">Operaciones!$K$2:$K$9</definedName>
    <definedName name="Incremento_Costo">Parametros!$B$3</definedName>
    <definedName name="Ingresos_Base">Operaciones!$G$2:$G$9</definedName>
    <definedName name="Margen_Base">Operaciones!$I$2:$I$9</definedName>
    <definedName name="Margen_Escenario">Operaciones!$O$2:$O$9</definedName>
    <definedName name="Tasa_Descuento">Parametros!$B$2</definedName>
    <definedName name="Unidades_Vendidas">Operaciones!$C$2:$C$9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3" l="1"/>
  <c r="B23" i="3"/>
  <c r="B7" i="3"/>
  <c r="B3" i="3"/>
  <c r="B2" i="3"/>
  <c r="B4" i="4"/>
  <c r="C4" i="4"/>
  <c r="D4" i="4"/>
  <c r="E4" i="4"/>
  <c r="B5" i="4"/>
  <c r="C5" i="4"/>
  <c r="D5" i="4"/>
  <c r="E5" i="4"/>
  <c r="B6" i="4"/>
  <c r="C6" i="4"/>
  <c r="D6" i="4"/>
  <c r="E6" i="4"/>
  <c r="C3" i="4"/>
  <c r="D3" i="4"/>
  <c r="E3" i="4"/>
  <c r="B3" i="4"/>
  <c r="L3" i="1"/>
  <c r="N3" i="1" s="1"/>
  <c r="O3" i="1" s="1"/>
  <c r="P3" i="1" s="1"/>
  <c r="M3" i="1"/>
  <c r="L4" i="1"/>
  <c r="N4" i="1" s="1"/>
  <c r="O4" i="1" s="1"/>
  <c r="P4" i="1" s="1"/>
  <c r="M4" i="1"/>
  <c r="L5" i="1"/>
  <c r="N5" i="1" s="1"/>
  <c r="O5" i="1" s="1"/>
  <c r="P5" i="1" s="1"/>
  <c r="M5" i="1"/>
  <c r="L6" i="1"/>
  <c r="N6" i="1" s="1"/>
  <c r="O6" i="1" s="1"/>
  <c r="P6" i="1" s="1"/>
  <c r="M6" i="1"/>
  <c r="L7" i="1"/>
  <c r="N7" i="1" s="1"/>
  <c r="O7" i="1" s="1"/>
  <c r="P7" i="1" s="1"/>
  <c r="M7" i="1"/>
  <c r="L8" i="1"/>
  <c r="N8" i="1" s="1"/>
  <c r="O8" i="1" s="1"/>
  <c r="P8" i="1" s="1"/>
  <c r="M8" i="1"/>
  <c r="L9" i="1"/>
  <c r="N9" i="1" s="1"/>
  <c r="O9" i="1" s="1"/>
  <c r="P9" i="1" s="1"/>
  <c r="M9" i="1"/>
  <c r="M2" i="1"/>
  <c r="L2" i="1"/>
  <c r="N2" i="1" s="1"/>
  <c r="G3" i="1"/>
  <c r="H3" i="1"/>
  <c r="I3" i="1"/>
  <c r="J3" i="1" s="1"/>
  <c r="K3" i="1"/>
  <c r="G4" i="1"/>
  <c r="H4" i="1"/>
  <c r="I4" i="1"/>
  <c r="J4" i="1" s="1"/>
  <c r="K4" i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 s="1"/>
  <c r="K7" i="1"/>
  <c r="G8" i="1"/>
  <c r="H8" i="1"/>
  <c r="I8" i="1"/>
  <c r="J8" i="1"/>
  <c r="K8" i="1"/>
  <c r="G9" i="1"/>
  <c r="H9" i="1"/>
  <c r="I9" i="1"/>
  <c r="J9" i="1"/>
  <c r="K9" i="1"/>
  <c r="K2" i="1"/>
  <c r="H2" i="1"/>
  <c r="B5" i="3" s="1"/>
  <c r="G2" i="1"/>
  <c r="B9" i="3" l="1"/>
  <c r="B4" i="3"/>
  <c r="B11" i="3"/>
  <c r="B12" i="3"/>
  <c r="I2" i="1"/>
  <c r="B8" i="3"/>
  <c r="B16" i="3"/>
  <c r="B8" i="4"/>
  <c r="B9" i="4"/>
  <c r="B18" i="3"/>
  <c r="O2" i="1"/>
  <c r="J2" i="1" l="1"/>
  <c r="B13" i="3" s="1"/>
  <c r="B10" i="3"/>
  <c r="B6" i="3"/>
  <c r="B14" i="3" s="1"/>
  <c r="B19" i="3"/>
  <c r="P2" i="1"/>
  <c r="B21" i="3" l="1"/>
  <c r="B20" i="3"/>
</calcChain>
</file>

<file path=xl/sharedStrings.xml><?xml version="1.0" encoding="utf-8"?>
<sst xmlns="http://schemas.openxmlformats.org/spreadsheetml/2006/main" count="124" uniqueCount="118">
  <si>
    <t>Código</t>
  </si>
  <si>
    <t>Producto</t>
  </si>
  <si>
    <t>Unidades vendidas</t>
  </si>
  <si>
    <t>Precio unitario S/</t>
  </si>
  <si>
    <t>Costo unitario S/</t>
  </si>
  <si>
    <t>Stock final</t>
  </si>
  <si>
    <t>P001</t>
  </si>
  <si>
    <t>Laptop</t>
  </si>
  <si>
    <t>P002</t>
  </si>
  <si>
    <t>Monitor</t>
  </si>
  <si>
    <t>P003</t>
  </si>
  <si>
    <t>Teclado</t>
  </si>
  <si>
    <t>P004</t>
  </si>
  <si>
    <t>Mouse</t>
  </si>
  <si>
    <t>P005</t>
  </si>
  <si>
    <t>Impresora</t>
  </si>
  <si>
    <t>P006</t>
  </si>
  <si>
    <t>SSD</t>
  </si>
  <si>
    <t>P007</t>
  </si>
  <si>
    <t>Memoria RAM</t>
  </si>
  <si>
    <t>P008</t>
  </si>
  <si>
    <t>Cámara web</t>
  </si>
  <si>
    <t>celdas de colores = entradas editables</t>
  </si>
  <si>
    <t>Ingresos</t>
  </si>
  <si>
    <t>Costo de ventas</t>
  </si>
  <si>
    <t>Margen bruto porcentual</t>
  </si>
  <si>
    <t>Cobertura estimada en meses</t>
  </si>
  <si>
    <t>Margen bruto</t>
  </si>
  <si>
    <t>Indicador</t>
  </si>
  <si>
    <t>Resultado</t>
  </si>
  <si>
    <t>Cantidad de registros numéricos de unidades vendidas</t>
  </si>
  <si>
    <t>Total de unidades vendidas</t>
  </si>
  <si>
    <t>Total de ingresos</t>
  </si>
  <si>
    <t>Total del costo de ventas</t>
  </si>
  <si>
    <t>Total del margen bruto</t>
  </si>
  <si>
    <t>Promedio de unidades vendidas por producto</t>
  </si>
  <si>
    <t>Mayor ingreso por producto</t>
  </si>
  <si>
    <t>Menor ingreso por producto</t>
  </si>
  <si>
    <t>Mayor margen bruto por producto</t>
  </si>
  <si>
    <t>Menor cobertura estimada</t>
  </si>
  <si>
    <t>Mayor cobertura estimada</t>
  </si>
  <si>
    <t>Promedio de los porcentajes de margen por producto</t>
  </si>
  <si>
    <t>Margen bruto porcentual global</t>
  </si>
  <si>
    <t>Comprobación: ingresos − costo</t>
  </si>
  <si>
    <t>Parámetro</t>
  </si>
  <si>
    <t>Valor</t>
  </si>
  <si>
    <t>Descuento comercial</t>
  </si>
  <si>
    <t>Incremento del costo</t>
  </si>
  <si>
    <t>Costo ajustado</t>
  </si>
  <si>
    <t>Ingresos del escenario</t>
  </si>
  <si>
    <t>Margen bruto del escenario</t>
  </si>
  <si>
    <t>Precio con descuento</t>
  </si>
  <si>
    <t>Variación del margen</t>
  </si>
  <si>
    <t>Ingresos totales del escenario</t>
  </si>
  <si>
    <t>Margen bruto total del escenario</t>
  </si>
  <si>
    <t>Variación del margen bruto total</t>
  </si>
  <si>
    <t>Margen bruto porcentual global del escenario</t>
  </si>
  <si>
    <t>Incremento del costo/ Descuento</t>
  </si>
  <si>
    <t>Mayor margen</t>
  </si>
  <si>
    <t>Menor margen</t>
  </si>
  <si>
    <t>Celdas en rojo = combinaciones con margen negativo</t>
  </si>
  <si>
    <t>Mayor margen: incremento 0 % y descuento 0 %</t>
  </si>
  <si>
    <t>Menor margen:  incremento 15 % y descuento 15 %</t>
  </si>
  <si>
    <t>Descuento aplicado</t>
  </si>
  <si>
    <t>Incremento del costo aplicado</t>
  </si>
  <si>
    <t>Evidencia 1: fórmula con referencias relativas (G2).</t>
  </si>
  <si>
    <t>Evidencia 2: fórmula con referencias absolutas (L2).</t>
  </si>
  <si>
    <t>Evidencia 3: fórmula inicial de la matriz con referencias mixtas (Escenarios, celda B3)</t>
  </si>
  <si>
    <t>Evidencia 4: Administrador de nombres (7 nombres definidos con ámbito de libro)</t>
  </si>
  <si>
    <t>Decisiones y análisis</t>
  </si>
  <si>
    <t>Preguntas</t>
  </si>
  <si>
    <t>Respuesta</t>
  </si>
  <si>
    <t>Aplica CONTAR a los códigos y a las unidades vendidas. Explica la diferencia.</t>
  </si>
  <si>
    <t>CONTAR en los códigos da 0 porque son texto. En las unidades da 8 porque son números. CONTAR solo cuenta valores numéricos.</t>
  </si>
  <si>
    <t>¿Por qué el promedio de los porcentajes de margen puede diferir del porcentaje global?</t>
  </si>
  <si>
    <t>El promedio (32.39 %) da el mismo peso a cada producto. El global (25.95 %) divide el margen total entre los ingresos totales, así que pesan más los productos que más se venden, como la Laptop (14 %).</t>
  </si>
  <si>
    <t>¿Qué ocurriría al copiar las fórmulas si las referencias a los parámetros fueran relativas?</t>
  </si>
  <si>
    <t>Al copiar la fórmula hacia abajo, la referencia se movería a B3, B4... y tomaría datos equivocados o celdas vacías. El descuento y el costo ya no serían los de los parámetros.</t>
  </si>
  <si>
    <t>¿Cómo facilitan los nombres la lectura de las fórmulas?</t>
  </si>
  <si>
    <t>Permiten leer =SUMA(Unidades_Vendidas) en vez de =SUMA(Operaciones!C2:C9). Se entiende qué dato se usa, hay menos errores de rango y es más fácil revisar.</t>
  </si>
  <si>
    <t>Análisis</t>
  </si>
  <si>
    <t>¿Qué producto genera mayores ingresos?</t>
  </si>
  <si>
    <t>La Laptop, con S/ 30,000.00.</t>
  </si>
  <si>
    <t>¿Qué producto genera mayor margen bruto en soles?</t>
  </si>
  <si>
    <t>El Monitor, con S/ 4,250.00 (la Laptop queda muy cerca, con S/ 4,200.00).</t>
  </si>
  <si>
    <t>¿Qué producto presenta mayor margen bruto porcentual?</t>
  </si>
  <si>
    <t>El Mouse, con 51.11 %.</t>
  </si>
  <si>
    <t>¿Por qué estos indicadores pueden señalar productos diferentes?</t>
  </si>
  <si>
    <t>Los ingresos dependen del precio y del volumen. El margen en soles es ingreso menos costo, y el margen % mide la ganancia sobre el ingreso. La Laptop vende caro pero con 14.00 %. El Mouse es barato pero con 51.11 %.</t>
  </si>
  <si>
    <t>¿Qué producto evaluarías primero para reposición y cuál por posible acumulación? Fundamenta.</t>
  </si>
  <si>
    <t>Para reposición, el Teclado: su cobertura es de 0.25 meses (20 de stock frente a 80 vendidas). Por posible acumulación, la Cámara web: su cobertura es de 3.00 meses (45 de stock frente a 15 vendidas).</t>
  </si>
  <si>
    <t>¿Cómo afecta el escenario comercial al margen bruto total?</t>
  </si>
  <si>
    <t>El margen bruto total baja de S/ 22,410.00 a S/ 12,977.30 (variación de -S/ 9,432.70). El margen global baja de 25.95 % a 15.82 %.</t>
  </si>
  <si>
    <t>¿Qué combinación de la matriz desaconsejarías y por qué?</t>
  </si>
  <si>
    <t>Descuento 15 % con incremento de costo 15 %: da -S/ 4,170.00, la mayor pérdida. En la matriz hay 8 combinaciones con margen negativo.</t>
  </si>
  <si>
    <t>¿Qué información falta para determinar cantidades de compra?</t>
  </si>
  <si>
    <t>Cómo reaccionaría la demanda al descuento, los gastos operativos, los tiempos de reposición del proveedor, las ventas por mes y el presupuesto de compra.</t>
  </si>
  <si>
    <t>Recomendación gerencial</t>
  </si>
  <si>
    <t>Recomendación (150 a 200 palabras)</t>
  </si>
  <si>
    <t>Se recomienda priorizar la reposición del Teclado y mantener los precios actuales, sin aplicar el descuento general del 5 % por ahora. El Teclado tiene la menor cobertura (0.25 meses) y un margen bruto de 47.06 %, por lo que un quiebre de stock afectaría ventas rentables. El modelo base genera ingresos por S/ 86,350.00 y un margen bruto de S/ 22,410.00 (25.95 %). En cambio, el escenario comercial, con 5 % de descuento y 8 % de aumento del costo, reduce los ingresos a S/ 82,032.50 y el margen a S/ 12,977.30 (15.82 %), una caída de S/ 9,432.70. Además, la Cámara web acumula 3.00 meses de cobertura, por lo que conviene evitar nuevas compras. Para decidir las cantidades de compra se necesitan datos adicionales: la reacción de la demanda al descuento y los plazos de reposición del proveedor. Una limitación es que el análisis usa un solo mes, mantiene constantes las unidades vendidas y no incluye gastos operativos, por lo que el margen bruto no equivale a la utilidad neta.</t>
  </si>
  <si>
    <t>Reflexión final</t>
  </si>
  <si>
    <t>¿Qué error de fórmula podría producir una decisión equivocada?</t>
  </si>
  <si>
    <t>Usar un rango incompleto (por ejemplo C2:C8 en lugar de C2:C9) o una referencia relativa donde debía ser absoluta. El resultado se ve normal pero es incorrecto, y podría llevar a comprar o descontar los productos equivocados.</t>
  </si>
  <si>
    <t>¿Qué ventaja aportan las referencias y los nombres cuando cambia un dato?</t>
  </si>
  <si>
    <t>Todo se actualiza automáticamente sin reescribir fórmulas, y los nombres hacen que las fórmulas se lean y se revisen con más facilidad.</t>
  </si>
  <si>
    <t>¿Qué protege tu archivo y qué limitaciones tienen esas protecciones?</t>
  </si>
  <si>
    <t>Protege fórmulas, hojas y estructura contra cambios accidentales: bloquea celdas, oculta fórmulas e impide renombrar hojas. No cifra el archivo: la contraseña es académica y puede quitarse con herramientas, y cualquiera con el archivo puede copiarlo.</t>
  </si>
  <si>
    <t>Vinculación con el trabajo final</t>
  </si>
  <si>
    <t>Organizacion o procesos</t>
  </si>
  <si>
    <t>Decision que requiere apoyo</t>
  </si>
  <si>
    <t>Cinco datos necesarios</t>
  </si>
  <si>
    <t>Dos indicadores en excel</t>
  </si>
  <si>
    <t>Un colegio, en el proceso de control de asistencia del aula de innovación, con una aplicación en Excel con macros y VBA.</t>
  </si>
  <si>
    <t>A qué estudiantes o secciones darles seguimiento por inasistencias y cómo programar el uso del aula según la asistencia.</t>
  </si>
  <si>
    <t>Código del estudiante, grado y sección, fecha y horario de la sesión, estado de asistencia (asistió, tardanza o faltó) y justificación de la falta.</t>
  </si>
  <si>
    <t>Porcentaje de asistencia por estudiante y por sección (asistencias ÷ sesiones) y total de inasistencias acumuladas, con alerta al superar un límite.</t>
  </si>
  <si>
    <t>Evidencia 5: intento de modificar una fórmula bloqueada (Operaciones, G2)</t>
  </si>
  <si>
    <t>Evidencia 6: celda con resultado visible y fórmula oculta (Operaciones, G2)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</si>
</sst>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&quot;S/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0" fillId="6" borderId="1" xfId="0" applyFill="1" applyBorder="1"/>
    <xf numFmtId="0" fontId="0" fillId="2" borderId="1" xfId="0" applyFill="1" applyBorder="1"/>
    <xf numFmtId="0" fontId="2" fillId="5" borderId="1" xfId="0" applyFont="1" applyFill="1" applyBorder="1" applyAlignment="1">
      <alignment horizontal="center"/>
    </xf>
    <xf numFmtId="0" fontId="0" fillId="3" borderId="1" xfId="0" applyFill="1" applyBorder="1" applyProtection="1">
      <protection locked="0"/>
    </xf>
    <xf numFmtId="44" fontId="0" fillId="3" borderId="1" xfId="0" applyNumberFormat="1" applyFill="1" applyBorder="1" applyProtection="1">
      <protection locked="0"/>
    </xf>
    <xf numFmtId="44" fontId="0" fillId="0" borderId="0" xfId="0" applyNumberFormat="1" applyProtection="1">
      <protection hidden="1"/>
    </xf>
    <xf numFmtId="10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hidden="1"/>
    </xf>
    <xf numFmtId="44" fontId="0" fillId="0" borderId="1" xfId="0" applyNumberFormat="1" applyBorder="1" applyProtection="1">
      <protection hidden="1"/>
    </xf>
    <xf numFmtId="2" fontId="0" fillId="0" borderId="1" xfId="0" applyNumberFormat="1" applyBorder="1" applyProtection="1">
      <protection hidden="1"/>
    </xf>
    <xf numFmtId="10" fontId="0" fillId="0" borderId="1" xfId="0" applyNumberFormat="1" applyBorder="1" applyProtection="1">
      <protection hidden="1"/>
    </xf>
    <xf numFmtId="164" fontId="0" fillId="0" borderId="1" xfId="0" applyNumberFormat="1" applyBorder="1" applyProtection="1">
      <protection hidden="1"/>
    </xf>
    <xf numFmtId="9" fontId="0" fillId="6" borderId="1" xfId="0" applyNumberFormat="1" applyFill="1" applyBorder="1" applyProtection="1"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14</xdr:col>
      <xdr:colOff>13854</xdr:colOff>
      <xdr:row>26</xdr:row>
      <xdr:rowOff>174171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00EA2C-4974-5651-7958-33BE9F9646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9211" b="51115"/>
        <a:stretch>
          <a:fillRect/>
        </a:stretch>
      </xdr:blipFill>
      <xdr:spPr>
        <a:xfrm>
          <a:off x="0" y="180110"/>
          <a:ext cx="11069781" cy="4676897"/>
        </a:xfrm>
        <a:prstGeom prst="rect">
          <a:avLst/>
        </a:prstGeom>
      </xdr:spPr>
    </xdr:pic>
    <xdr:clientData/>
  </xdr:twoCellAnchor>
  <xdr:twoCellAnchor editAs="oneCell">
    <xdr:from>
      <xdr:col>0</xdr:col>
      <xdr:colOff>13855</xdr:colOff>
      <xdr:row>31</xdr:row>
      <xdr:rowOff>1</xdr:rowOff>
    </xdr:from>
    <xdr:to>
      <xdr:col>14</xdr:col>
      <xdr:colOff>0</xdr:colOff>
      <xdr:row>55</xdr:row>
      <xdr:rowOff>121446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D81D1F-1344-6666-BFBC-EA6C51522E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1954" b="47937"/>
        <a:stretch>
          <a:fillRect/>
        </a:stretch>
      </xdr:blipFill>
      <xdr:spPr>
        <a:xfrm>
          <a:off x="13855" y="5583383"/>
          <a:ext cx="11042072" cy="4444063"/>
        </a:xfrm>
        <a:prstGeom prst="rect">
          <a:avLst/>
        </a:prstGeom>
      </xdr:spPr>
    </xdr:pic>
    <xdr:clientData/>
  </xdr:twoCellAnchor>
  <xdr:twoCellAnchor editAs="oneCell">
    <xdr:from>
      <xdr:col>0</xdr:col>
      <xdr:colOff>55420</xdr:colOff>
      <xdr:row>62</xdr:row>
      <xdr:rowOff>41565</xdr:rowOff>
    </xdr:from>
    <xdr:to>
      <xdr:col>14</xdr:col>
      <xdr:colOff>45903</xdr:colOff>
      <xdr:row>95</xdr:row>
      <xdr:rowOff>13855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7A3A89-9D36-85B0-9627-A8B846C1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420" y="11208329"/>
          <a:ext cx="11046410" cy="591589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101</xdr:row>
      <xdr:rowOff>83128</xdr:rowOff>
    </xdr:from>
    <xdr:to>
      <xdr:col>14</xdr:col>
      <xdr:colOff>33463</xdr:colOff>
      <xdr:row>140</xdr:row>
      <xdr:rowOff>124690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752C4EA-27A8-77D0-DEF1-93C1483283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081"/>
        <a:stretch>
          <a:fillRect/>
        </a:stretch>
      </xdr:blipFill>
      <xdr:spPr>
        <a:xfrm>
          <a:off x="152400" y="18274146"/>
          <a:ext cx="10936990" cy="7065817"/>
        </a:xfrm>
        <a:prstGeom prst="rect">
          <a:avLst/>
        </a:prstGeom>
      </xdr:spPr>
    </xdr:pic>
    <xdr:clientData/>
  </xdr:twoCellAnchor>
  <xdr:twoCellAnchor editAs="oneCell">
    <xdr:from>
      <xdr:col>0</xdr:col>
      <xdr:colOff>53009</xdr:colOff>
      <xdr:row>144</xdr:row>
      <xdr:rowOff>132522</xdr:rowOff>
    </xdr:from>
    <xdr:to>
      <xdr:col>14</xdr:col>
      <xdr:colOff>110159</xdr:colOff>
      <xdr:row>172</xdr:row>
      <xdr:rowOff>180054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1313ED4-F8CD-7511-C189-4D0A783C8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009" y="26848905"/>
          <a:ext cx="11188976" cy="52423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14</xdr:col>
      <xdr:colOff>246064</xdr:colOff>
      <xdr:row>199</xdr:row>
      <xdr:rowOff>87086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3DE9CFC-689C-B669-2287-102F1D92E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570057"/>
          <a:ext cx="11371264" cy="434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E90E-B5F2-418C-B9B1-327273A961C4}">
  <dimension ref="A1:P11"/>
  <sheetViews>
    <sheetView zoomScale="85" zoomScaleNormal="85" workbookViewId="0">
      <selection activeCell="G2" sqref="G2"/>
    </sheetView>
  </sheetViews>
  <sheetFormatPr baseColWidth="10" defaultRowHeight="14.4" x14ac:dyDescent="0.3"/>
  <cols>
    <col min="1" max="1" width="35" bestFit="1" customWidth="1"/>
    <col min="2" max="2" width="13.5546875" bestFit="1" customWidth="1"/>
    <col min="3" max="3" width="23.6640625" bestFit="1" customWidth="1"/>
    <col min="4" max="4" width="21.44140625" bestFit="1" customWidth="1"/>
    <col min="5" max="5" width="20.44140625" bestFit="1" customWidth="1"/>
    <col min="6" max="6" width="13.77734375" customWidth="1"/>
    <col min="7" max="7" width="14" customWidth="1"/>
    <col min="8" max="8" width="19.77734375" bestFit="1" customWidth="1"/>
    <col min="9" max="9" width="16.77734375" bestFit="1" customWidth="1"/>
    <col min="10" max="10" width="30.109375" bestFit="1" customWidth="1"/>
    <col min="11" max="11" width="35.88671875" bestFit="1" customWidth="1"/>
    <col min="12" max="12" width="26.44140625" bestFit="1" customWidth="1"/>
    <col min="13" max="13" width="18.44140625" customWidth="1"/>
    <col min="14" max="14" width="27.33203125" bestFit="1" customWidth="1"/>
    <col min="15" max="15" width="32.88671875" bestFit="1" customWidth="1"/>
    <col min="16" max="16" width="25.3320312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23</v>
      </c>
      <c r="H1" s="3" t="s">
        <v>24</v>
      </c>
      <c r="I1" s="3" t="s">
        <v>27</v>
      </c>
      <c r="J1" s="3" t="s">
        <v>25</v>
      </c>
      <c r="K1" s="3" t="s">
        <v>26</v>
      </c>
      <c r="L1" s="3" t="s">
        <v>51</v>
      </c>
      <c r="M1" s="3" t="s">
        <v>48</v>
      </c>
      <c r="N1" s="3" t="s">
        <v>49</v>
      </c>
      <c r="O1" s="3" t="s">
        <v>50</v>
      </c>
      <c r="P1" s="3" t="s">
        <v>52</v>
      </c>
    </row>
    <row r="2" spans="1:16" x14ac:dyDescent="0.3">
      <c r="A2" s="1" t="s">
        <v>6</v>
      </c>
      <c r="B2" s="1" t="s">
        <v>7</v>
      </c>
      <c r="C2" s="15">
        <v>12</v>
      </c>
      <c r="D2" s="16">
        <v>2500</v>
      </c>
      <c r="E2" s="16">
        <v>2150</v>
      </c>
      <c r="F2" s="15">
        <v>4</v>
      </c>
      <c r="G2" s="17">
        <f>C2*D2</f>
        <v>30000</v>
      </c>
      <c r="H2" s="17">
        <f>C2*E2</f>
        <v>25800</v>
      </c>
      <c r="I2" s="17">
        <f>G2-H2</f>
        <v>4200</v>
      </c>
      <c r="J2" s="18">
        <f>I2/G2</f>
        <v>0.14000000000000001</v>
      </c>
      <c r="K2" s="19">
        <f>F2/C2</f>
        <v>0.33333333333333331</v>
      </c>
      <c r="L2" s="17">
        <f>D2*(1-Parametros!$B$2)</f>
        <v>2375</v>
      </c>
      <c r="M2" s="17">
        <f>E2*(1+Parametros!$B$3)</f>
        <v>2322</v>
      </c>
      <c r="N2" s="17">
        <f>C2*L2</f>
        <v>28500</v>
      </c>
      <c r="O2" s="17">
        <f>N2-C2*M2</f>
        <v>636</v>
      </c>
      <c r="P2" s="17">
        <f>O2-I2</f>
        <v>-3564</v>
      </c>
    </row>
    <row r="3" spans="1:16" x14ac:dyDescent="0.3">
      <c r="A3" s="1" t="s">
        <v>8</v>
      </c>
      <c r="B3" s="1" t="s">
        <v>9</v>
      </c>
      <c r="C3" s="15">
        <v>25</v>
      </c>
      <c r="D3" s="16">
        <v>650</v>
      </c>
      <c r="E3" s="16">
        <v>480</v>
      </c>
      <c r="F3" s="15">
        <v>10</v>
      </c>
      <c r="G3" s="17">
        <f t="shared" ref="G3:G9" si="0">C3*D3</f>
        <v>16250</v>
      </c>
      <c r="H3" s="17">
        <f t="shared" ref="H3:H9" si="1">C3*E3</f>
        <v>12000</v>
      </c>
      <c r="I3" s="17">
        <f t="shared" ref="I3:I9" si="2">G3-H3</f>
        <v>4250</v>
      </c>
      <c r="J3" s="18">
        <f t="shared" ref="J3:J9" si="3">I3/G3</f>
        <v>0.26153846153846155</v>
      </c>
      <c r="K3" s="19">
        <f t="shared" ref="K3:K9" si="4">F3/C3</f>
        <v>0.4</v>
      </c>
      <c r="L3" s="17">
        <f>D3*(1-Parametros!$B$2)</f>
        <v>617.5</v>
      </c>
      <c r="M3" s="17">
        <f>E3*(1+Parametros!$B$3)</f>
        <v>518.40000000000009</v>
      </c>
      <c r="N3" s="17">
        <f t="shared" ref="N3:N9" si="5">C3*L3</f>
        <v>15437.5</v>
      </c>
      <c r="O3" s="17">
        <f t="shared" ref="O3:O9" si="6">N3-C3*M3</f>
        <v>2477.4999999999982</v>
      </c>
      <c r="P3" s="17">
        <f t="shared" ref="P3:P9" si="7">O3-I3</f>
        <v>-1772.5000000000018</v>
      </c>
    </row>
    <row r="4" spans="1:16" x14ac:dyDescent="0.3">
      <c r="A4" s="1" t="s">
        <v>10</v>
      </c>
      <c r="B4" s="1" t="s">
        <v>11</v>
      </c>
      <c r="C4" s="15">
        <v>80</v>
      </c>
      <c r="D4" s="16">
        <v>85</v>
      </c>
      <c r="E4" s="16">
        <v>45</v>
      </c>
      <c r="F4" s="15">
        <v>20</v>
      </c>
      <c r="G4" s="17">
        <f t="shared" si="0"/>
        <v>6800</v>
      </c>
      <c r="H4" s="17">
        <f t="shared" si="1"/>
        <v>3600</v>
      </c>
      <c r="I4" s="17">
        <f t="shared" si="2"/>
        <v>3200</v>
      </c>
      <c r="J4" s="18">
        <f t="shared" si="3"/>
        <v>0.47058823529411764</v>
      </c>
      <c r="K4" s="19">
        <f t="shared" si="4"/>
        <v>0.25</v>
      </c>
      <c r="L4" s="17">
        <f>D4*(1-Parametros!$B$2)</f>
        <v>80.75</v>
      </c>
      <c r="M4" s="17">
        <f>E4*(1+Parametros!$B$3)</f>
        <v>48.6</v>
      </c>
      <c r="N4" s="17">
        <f t="shared" si="5"/>
        <v>6460</v>
      </c>
      <c r="O4" s="17">
        <f t="shared" si="6"/>
        <v>2572</v>
      </c>
      <c r="P4" s="17">
        <f t="shared" si="7"/>
        <v>-628</v>
      </c>
    </row>
    <row r="5" spans="1:16" x14ac:dyDescent="0.3">
      <c r="A5" s="1" t="s">
        <v>12</v>
      </c>
      <c r="B5" s="1" t="s">
        <v>13</v>
      </c>
      <c r="C5" s="15">
        <v>120</v>
      </c>
      <c r="D5" s="16">
        <v>45</v>
      </c>
      <c r="E5" s="16">
        <v>22</v>
      </c>
      <c r="F5" s="15">
        <v>35</v>
      </c>
      <c r="G5" s="17">
        <f t="shared" si="0"/>
        <v>5400</v>
      </c>
      <c r="H5" s="17">
        <f t="shared" si="1"/>
        <v>2640</v>
      </c>
      <c r="I5" s="17">
        <f t="shared" si="2"/>
        <v>2760</v>
      </c>
      <c r="J5" s="18">
        <f t="shared" si="3"/>
        <v>0.51111111111111107</v>
      </c>
      <c r="K5" s="19">
        <f t="shared" si="4"/>
        <v>0.29166666666666669</v>
      </c>
      <c r="L5" s="17">
        <f>D5*(1-Parametros!$B$2)</f>
        <v>42.75</v>
      </c>
      <c r="M5" s="17">
        <f>E5*(1+Parametros!$B$3)</f>
        <v>23.76</v>
      </c>
      <c r="N5" s="17">
        <f t="shared" si="5"/>
        <v>5130</v>
      </c>
      <c r="O5" s="17">
        <f t="shared" si="6"/>
        <v>2278.7999999999997</v>
      </c>
      <c r="P5" s="17">
        <f t="shared" si="7"/>
        <v>-481.20000000000027</v>
      </c>
    </row>
    <row r="6" spans="1:16" x14ac:dyDescent="0.3">
      <c r="A6" s="1" t="s">
        <v>14</v>
      </c>
      <c r="B6" s="1" t="s">
        <v>15</v>
      </c>
      <c r="C6" s="15">
        <v>10</v>
      </c>
      <c r="D6" s="16">
        <v>900</v>
      </c>
      <c r="E6" s="16">
        <v>730</v>
      </c>
      <c r="F6" s="15">
        <v>18</v>
      </c>
      <c r="G6" s="17">
        <f t="shared" si="0"/>
        <v>9000</v>
      </c>
      <c r="H6" s="17">
        <f t="shared" si="1"/>
        <v>7300</v>
      </c>
      <c r="I6" s="17">
        <f t="shared" si="2"/>
        <v>1700</v>
      </c>
      <c r="J6" s="18">
        <f t="shared" si="3"/>
        <v>0.18888888888888888</v>
      </c>
      <c r="K6" s="19">
        <f t="shared" si="4"/>
        <v>1.8</v>
      </c>
      <c r="L6" s="17">
        <f>D6*(1-Parametros!$B$2)</f>
        <v>855</v>
      </c>
      <c r="M6" s="17">
        <f>E6*(1+Parametros!$B$3)</f>
        <v>788.40000000000009</v>
      </c>
      <c r="N6" s="17">
        <f t="shared" si="5"/>
        <v>8550</v>
      </c>
      <c r="O6" s="17">
        <f t="shared" si="6"/>
        <v>665.99999999999909</v>
      </c>
      <c r="P6" s="17">
        <f t="shared" si="7"/>
        <v>-1034.0000000000009</v>
      </c>
    </row>
    <row r="7" spans="1:16" x14ac:dyDescent="0.3">
      <c r="A7" s="1" t="s">
        <v>16</v>
      </c>
      <c r="B7" s="1" t="s">
        <v>17</v>
      </c>
      <c r="C7" s="15">
        <v>40</v>
      </c>
      <c r="D7" s="16">
        <v>220</v>
      </c>
      <c r="E7" s="16">
        <v>150</v>
      </c>
      <c r="F7" s="15">
        <v>12</v>
      </c>
      <c r="G7" s="17">
        <f t="shared" si="0"/>
        <v>8800</v>
      </c>
      <c r="H7" s="17">
        <f t="shared" si="1"/>
        <v>6000</v>
      </c>
      <c r="I7" s="17">
        <f t="shared" si="2"/>
        <v>2800</v>
      </c>
      <c r="J7" s="18">
        <f t="shared" si="3"/>
        <v>0.31818181818181818</v>
      </c>
      <c r="K7" s="19">
        <f t="shared" si="4"/>
        <v>0.3</v>
      </c>
      <c r="L7" s="17">
        <f>D7*(1-Parametros!$B$2)</f>
        <v>209</v>
      </c>
      <c r="M7" s="17">
        <f>E7*(1+Parametros!$B$3)</f>
        <v>162</v>
      </c>
      <c r="N7" s="17">
        <f t="shared" si="5"/>
        <v>8360</v>
      </c>
      <c r="O7" s="17">
        <f t="shared" si="6"/>
        <v>1880</v>
      </c>
      <c r="P7" s="17">
        <f t="shared" si="7"/>
        <v>-920</v>
      </c>
    </row>
    <row r="8" spans="1:16" x14ac:dyDescent="0.3">
      <c r="A8" s="1" t="s">
        <v>18</v>
      </c>
      <c r="B8" s="1" t="s">
        <v>19</v>
      </c>
      <c r="C8" s="15">
        <v>50</v>
      </c>
      <c r="D8" s="16">
        <v>160</v>
      </c>
      <c r="E8" s="16">
        <v>105</v>
      </c>
      <c r="F8" s="15">
        <v>15</v>
      </c>
      <c r="G8" s="17">
        <f t="shared" si="0"/>
        <v>8000</v>
      </c>
      <c r="H8" s="17">
        <f t="shared" si="1"/>
        <v>5250</v>
      </c>
      <c r="I8" s="17">
        <f t="shared" si="2"/>
        <v>2750</v>
      </c>
      <c r="J8" s="18">
        <f t="shared" si="3"/>
        <v>0.34375</v>
      </c>
      <c r="K8" s="19">
        <f t="shared" si="4"/>
        <v>0.3</v>
      </c>
      <c r="L8" s="17">
        <f>D8*(1-Parametros!$B$2)</f>
        <v>152</v>
      </c>
      <c r="M8" s="17">
        <f>E8*(1+Parametros!$B$3)</f>
        <v>113.4</v>
      </c>
      <c r="N8" s="17">
        <f t="shared" si="5"/>
        <v>7600</v>
      </c>
      <c r="O8" s="17">
        <f t="shared" si="6"/>
        <v>1930</v>
      </c>
      <c r="P8" s="17">
        <f t="shared" si="7"/>
        <v>-820</v>
      </c>
    </row>
    <row r="9" spans="1:16" x14ac:dyDescent="0.3">
      <c r="A9" s="1" t="s">
        <v>20</v>
      </c>
      <c r="B9" s="1" t="s">
        <v>21</v>
      </c>
      <c r="C9" s="15">
        <v>15</v>
      </c>
      <c r="D9" s="16">
        <v>140</v>
      </c>
      <c r="E9" s="16">
        <v>90</v>
      </c>
      <c r="F9" s="15">
        <v>45</v>
      </c>
      <c r="G9" s="17">
        <f t="shared" si="0"/>
        <v>2100</v>
      </c>
      <c r="H9" s="17">
        <f t="shared" si="1"/>
        <v>1350</v>
      </c>
      <c r="I9" s="17">
        <f t="shared" si="2"/>
        <v>750</v>
      </c>
      <c r="J9" s="18">
        <f t="shared" si="3"/>
        <v>0.35714285714285715</v>
      </c>
      <c r="K9" s="19">
        <f t="shared" si="4"/>
        <v>3</v>
      </c>
      <c r="L9" s="17">
        <f>D9*(1-Parametros!$B$2)</f>
        <v>133</v>
      </c>
      <c r="M9" s="17">
        <f>E9*(1+Parametros!$B$3)</f>
        <v>97.2</v>
      </c>
      <c r="N9" s="17">
        <f t="shared" si="5"/>
        <v>1995</v>
      </c>
      <c r="O9" s="17">
        <f t="shared" si="6"/>
        <v>537</v>
      </c>
      <c r="P9" s="17">
        <f t="shared" si="7"/>
        <v>-213</v>
      </c>
    </row>
    <row r="11" spans="1:16" x14ac:dyDescent="0.3">
      <c r="A11" t="s">
        <v>22</v>
      </c>
    </row>
  </sheetData>
  <sheetProtection algorithmName="SHA-512" hashValue="72O4ZSqvJvy7NhUsLjINK8Q5sD4xXXAko7TwgC2f84T7MAEZI1zXG9u2cxvbg63BhwebxOsCLIkMJfOAgqR/QQ==" saltValue="DXyUjsVdXLIB6kutL414h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BEED-A98A-4D56-9546-B297AFE688D2}">
  <dimension ref="A1:B3"/>
  <sheetViews>
    <sheetView workbookViewId="0">
      <selection activeCell="F5" sqref="F5"/>
    </sheetView>
  </sheetViews>
  <sheetFormatPr baseColWidth="10" defaultRowHeight="14.4" x14ac:dyDescent="0.3"/>
  <cols>
    <col min="1" max="1" width="19.88671875" bestFit="1" customWidth="1"/>
  </cols>
  <sheetData>
    <row r="1" spans="1:2" x14ac:dyDescent="0.3">
      <c r="A1" s="11" t="s">
        <v>44</v>
      </c>
      <c r="B1" s="14" t="s">
        <v>45</v>
      </c>
    </row>
    <row r="2" spans="1:2" x14ac:dyDescent="0.3">
      <c r="A2" s="1" t="s">
        <v>46</v>
      </c>
      <c r="B2" s="20">
        <v>0.05</v>
      </c>
    </row>
    <row r="3" spans="1:2" x14ac:dyDescent="0.3">
      <c r="A3" s="1" t="s">
        <v>47</v>
      </c>
      <c r="B3" s="20">
        <v>0.08</v>
      </c>
    </row>
  </sheetData>
  <sheetProtection algorithmName="SHA-512" hashValue="5zUITaNs9/isUU1d8/pkErNCz3SEiBijWLWLl/d1eH9WS19RoI3P047tyMktndX7wWo0Cnw8/U4MoI9FNd7CEQ==" saltValue="2dzr1LYb+Xx+BWuS5TgW+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E019-7D19-4304-9B8C-AE1EFF66A677}">
  <dimension ref="A1:C24"/>
  <sheetViews>
    <sheetView zoomScale="102" zoomScaleNormal="130" workbookViewId="0">
      <selection activeCell="G7" sqref="G7"/>
    </sheetView>
  </sheetViews>
  <sheetFormatPr baseColWidth="10" defaultRowHeight="14.4" x14ac:dyDescent="0.3"/>
  <cols>
    <col min="1" max="1" width="50.109375" bestFit="1" customWidth="1"/>
    <col min="2" max="2" width="13.33203125" bestFit="1" customWidth="1"/>
    <col min="3" max="3" width="11.88671875" bestFit="1" customWidth="1"/>
  </cols>
  <sheetData>
    <row r="1" spans="1:3" x14ac:dyDescent="0.3">
      <c r="A1" s="11" t="s">
        <v>28</v>
      </c>
      <c r="B1" s="11" t="s">
        <v>29</v>
      </c>
      <c r="C1" s="11" t="s">
        <v>1</v>
      </c>
    </row>
    <row r="2" spans="1:3" x14ac:dyDescent="0.3">
      <c r="A2" s="10" t="s">
        <v>30</v>
      </c>
      <c r="B2" s="21">
        <f>COUNT(Unidades_Vendidas)</f>
        <v>8</v>
      </c>
      <c r="C2" s="1"/>
    </row>
    <row r="3" spans="1:3" x14ac:dyDescent="0.3">
      <c r="A3" s="10" t="s">
        <v>31</v>
      </c>
      <c r="B3" s="21">
        <f>SUM(Unidades_Vendidas)</f>
        <v>352</v>
      </c>
      <c r="C3" s="1"/>
    </row>
    <row r="4" spans="1:3" x14ac:dyDescent="0.3">
      <c r="A4" s="10" t="s">
        <v>32</v>
      </c>
      <c r="B4" s="22">
        <f>SUM(Operaciones!G2:G9)</f>
        <v>86350</v>
      </c>
      <c r="C4" s="1"/>
    </row>
    <row r="5" spans="1:3" x14ac:dyDescent="0.3">
      <c r="A5" s="10" t="s">
        <v>33</v>
      </c>
      <c r="B5" s="22">
        <f>SUM(Operaciones!H2:H9)</f>
        <v>63940</v>
      </c>
      <c r="C5" s="1"/>
    </row>
    <row r="6" spans="1:3" x14ac:dyDescent="0.3">
      <c r="A6" s="10" t="s">
        <v>34</v>
      </c>
      <c r="B6" s="22">
        <f>SUM(Operaciones!I2:I9)</f>
        <v>22410</v>
      </c>
      <c r="C6" s="1"/>
    </row>
    <row r="7" spans="1:3" x14ac:dyDescent="0.3">
      <c r="A7" s="10" t="s">
        <v>35</v>
      </c>
      <c r="B7" s="21">
        <f>AVERAGE(Unidades_Vendidas)</f>
        <v>44</v>
      </c>
      <c r="C7" s="1"/>
    </row>
    <row r="8" spans="1:3" x14ac:dyDescent="0.3">
      <c r="A8" s="10" t="s">
        <v>36</v>
      </c>
      <c r="B8" s="22">
        <f>MAX(Ingresos_Base)</f>
        <v>30000</v>
      </c>
      <c r="C8" s="4" t="s">
        <v>7</v>
      </c>
    </row>
    <row r="9" spans="1:3" x14ac:dyDescent="0.3">
      <c r="A9" s="10" t="s">
        <v>37</v>
      </c>
      <c r="B9" s="22">
        <f>MIN(Operaciones!G2:G9)</f>
        <v>2100</v>
      </c>
      <c r="C9" s="4" t="s">
        <v>21</v>
      </c>
    </row>
    <row r="10" spans="1:3" x14ac:dyDescent="0.3">
      <c r="A10" s="10" t="s">
        <v>38</v>
      </c>
      <c r="B10" s="22">
        <f>MAX(Operaciones!I2:I9)</f>
        <v>4250</v>
      </c>
      <c r="C10" s="4" t="s">
        <v>9</v>
      </c>
    </row>
    <row r="11" spans="1:3" x14ac:dyDescent="0.3">
      <c r="A11" s="10" t="s">
        <v>39</v>
      </c>
      <c r="B11" s="23">
        <f>MIN(Cobertura_Stock)</f>
        <v>0.25</v>
      </c>
      <c r="C11" s="4" t="s">
        <v>11</v>
      </c>
    </row>
    <row r="12" spans="1:3" x14ac:dyDescent="0.3">
      <c r="A12" s="10" t="s">
        <v>40</v>
      </c>
      <c r="B12" s="23">
        <f>MAX(Operaciones!K2:K9)</f>
        <v>3</v>
      </c>
      <c r="C12" s="4" t="s">
        <v>21</v>
      </c>
    </row>
    <row r="13" spans="1:3" x14ac:dyDescent="0.3">
      <c r="A13" s="10" t="s">
        <v>41</v>
      </c>
      <c r="B13" s="24">
        <f>AVERAGE(Operaciones!J2:J9)</f>
        <v>0.32390017151965683</v>
      </c>
      <c r="C13" s="1"/>
    </row>
    <row r="14" spans="1:3" x14ac:dyDescent="0.3">
      <c r="A14" s="10" t="s">
        <v>42</v>
      </c>
      <c r="B14" s="24">
        <f>B6/B4</f>
        <v>0.25952518818760856</v>
      </c>
      <c r="C14" s="1"/>
    </row>
    <row r="16" spans="1:3" x14ac:dyDescent="0.3">
      <c r="A16" t="s">
        <v>43</v>
      </c>
      <c r="B16" s="17">
        <f>B4-B5</f>
        <v>22410</v>
      </c>
    </row>
    <row r="18" spans="1:2" x14ac:dyDescent="0.3">
      <c r="A18" s="10" t="s">
        <v>53</v>
      </c>
      <c r="B18" s="25">
        <f>SUM(Operaciones!N2:N9)</f>
        <v>82032.5</v>
      </c>
    </row>
    <row r="19" spans="1:2" x14ac:dyDescent="0.3">
      <c r="A19" s="10" t="s">
        <v>54</v>
      </c>
      <c r="B19" s="25">
        <f>SUM(Margen_Escenario)</f>
        <v>12977.299999999996</v>
      </c>
    </row>
    <row r="20" spans="1:2" x14ac:dyDescent="0.3">
      <c r="A20" s="10" t="s">
        <v>55</v>
      </c>
      <c r="B20" s="25">
        <f>B19-B6</f>
        <v>-9432.7000000000044</v>
      </c>
    </row>
    <row r="21" spans="1:2" x14ac:dyDescent="0.3">
      <c r="A21" s="10" t="s">
        <v>56</v>
      </c>
      <c r="B21" s="24">
        <f>B19/B18</f>
        <v>0.15819705604486023</v>
      </c>
    </row>
    <row r="23" spans="1:2" x14ac:dyDescent="0.3">
      <c r="A23" s="10" t="s">
        <v>63</v>
      </c>
      <c r="B23" s="24">
        <f>Tasa_Descuento</f>
        <v>0.05</v>
      </c>
    </row>
    <row r="24" spans="1:2" x14ac:dyDescent="0.3">
      <c r="A24" s="10" t="s">
        <v>64</v>
      </c>
      <c r="B24" s="24">
        <f>Incremento_Costo</f>
        <v>0.08</v>
      </c>
    </row>
  </sheetData>
  <sheetProtection algorithmName="SHA-512" hashValue="s2el8mlAF7SLeuovGisM825ErZSVcLcLVjr7/NTgOZz4KUmBYdEnlNU3xAZYzyBadXLuGHAU0JU4boqOYZtwCg==" saltValue="FB/U3zYVGZKqDrVYB0Uok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491E-9FC7-4295-BF35-A964962104CE}">
  <dimension ref="A2:E13"/>
  <sheetViews>
    <sheetView zoomScaleNormal="100" workbookViewId="0">
      <selection activeCell="B3" sqref="B3"/>
    </sheetView>
  </sheetViews>
  <sheetFormatPr baseColWidth="10" defaultRowHeight="14.4" x14ac:dyDescent="0.3"/>
  <cols>
    <col min="1" max="1" width="44.77734375" bestFit="1" customWidth="1"/>
  </cols>
  <sheetData>
    <row r="2" spans="1:5" x14ac:dyDescent="0.3">
      <c r="A2" s="12" t="s">
        <v>57</v>
      </c>
      <c r="B2" s="26">
        <v>0</v>
      </c>
      <c r="C2" s="26">
        <v>0.05</v>
      </c>
      <c r="D2" s="26">
        <v>0.1</v>
      </c>
      <c r="E2" s="26">
        <v>0.15</v>
      </c>
    </row>
    <row r="3" spans="1:5" x14ac:dyDescent="0.3">
      <c r="A3" s="27">
        <v>0</v>
      </c>
      <c r="B3" s="25">
        <f>Operaciones!$C$2*(Operaciones!$D$2*(1-B$2)-Operaciones!$E$2*(1+$A3))</f>
        <v>4200</v>
      </c>
      <c r="C3" s="25">
        <f>Operaciones!$C$2*(Operaciones!$D$2*(1-C$2)-Operaciones!$E$2*(1+$A3))</f>
        <v>2700</v>
      </c>
      <c r="D3" s="25">
        <f>Operaciones!$C$2*(Operaciones!$D$2*(1-D$2)-Operaciones!$E$2*(1+$A3))</f>
        <v>1200</v>
      </c>
      <c r="E3" s="25">
        <f>Operaciones!$C$2*(Operaciones!$D$2*(1-E$2)-Operaciones!$E$2*(1+$A3))</f>
        <v>-300</v>
      </c>
    </row>
    <row r="4" spans="1:5" x14ac:dyDescent="0.3">
      <c r="A4" s="27">
        <v>0.05</v>
      </c>
      <c r="B4" s="25">
        <f>Operaciones!$C$2*(Operaciones!$D$2*(1-B$2)-Operaciones!$E$2*(1+$A4))</f>
        <v>2910</v>
      </c>
      <c r="C4" s="25">
        <f>Operaciones!$C$2*(Operaciones!$D$2*(1-C$2)-Operaciones!$E$2*(1+$A4))</f>
        <v>1410</v>
      </c>
      <c r="D4" s="25">
        <f>Operaciones!$C$2*(Operaciones!$D$2*(1-D$2)-Operaciones!$E$2*(1+$A4))</f>
        <v>-90</v>
      </c>
      <c r="E4" s="25">
        <f>Operaciones!$C$2*(Operaciones!$D$2*(1-E$2)-Operaciones!$E$2*(1+$A4))</f>
        <v>-1590</v>
      </c>
    </row>
    <row r="5" spans="1:5" x14ac:dyDescent="0.3">
      <c r="A5" s="27">
        <v>0.1</v>
      </c>
      <c r="B5" s="25">
        <f>Operaciones!$C$2*(Operaciones!$D$2*(1-B$2)-Operaciones!$E$2*(1+$A5))</f>
        <v>1620</v>
      </c>
      <c r="C5" s="25">
        <f>Operaciones!$C$2*(Operaciones!$D$2*(1-C$2)-Operaciones!$E$2*(1+$A5))</f>
        <v>120</v>
      </c>
      <c r="D5" s="25">
        <f>Operaciones!$C$2*(Operaciones!$D$2*(1-D$2)-Operaciones!$E$2*(1+$A5))</f>
        <v>-1380</v>
      </c>
      <c r="E5" s="25">
        <f>Operaciones!$C$2*(Operaciones!$D$2*(1-E$2)-Operaciones!$E$2*(1+$A5))</f>
        <v>-2880</v>
      </c>
    </row>
    <row r="6" spans="1:5" x14ac:dyDescent="0.3">
      <c r="A6" s="27">
        <v>0.15</v>
      </c>
      <c r="B6" s="25">
        <f>Operaciones!$C$2*(Operaciones!$D$2*(1-B$2)-Operaciones!$E$2*(1+$A6))</f>
        <v>330</v>
      </c>
      <c r="C6" s="25">
        <f>Operaciones!$C$2*(Operaciones!$D$2*(1-C$2)-Operaciones!$E$2*(1+$A6))</f>
        <v>-1170</v>
      </c>
      <c r="D6" s="25">
        <f>Operaciones!$C$2*(Operaciones!$D$2*(1-D$2)-Operaciones!$E$2*(1+$A6))</f>
        <v>-2670</v>
      </c>
      <c r="E6" s="25">
        <f>Operaciones!$C$2*(Operaciones!$D$2*(1-E$2)-Operaciones!$E$2*(1+$A6))</f>
        <v>-4170</v>
      </c>
    </row>
    <row r="8" spans="1:5" x14ac:dyDescent="0.3">
      <c r="A8" s="13" t="s">
        <v>58</v>
      </c>
      <c r="B8" s="25">
        <f>MAX(B3:E6)</f>
        <v>4200</v>
      </c>
    </row>
    <row r="9" spans="1:5" x14ac:dyDescent="0.3">
      <c r="A9" s="13" t="s">
        <v>59</v>
      </c>
      <c r="B9" s="25">
        <f>MIN(B3:E6)</f>
        <v>-4170</v>
      </c>
    </row>
    <row r="11" spans="1:5" x14ac:dyDescent="0.3">
      <c r="A11" t="s">
        <v>61</v>
      </c>
    </row>
    <row r="12" spans="1:5" x14ac:dyDescent="0.3">
      <c r="A12" t="s">
        <v>62</v>
      </c>
    </row>
    <row r="13" spans="1:5" x14ac:dyDescent="0.3">
      <c r="A13" t="s">
        <v>60</v>
      </c>
    </row>
  </sheetData>
  <sheetProtection algorithmName="SHA-512" hashValue="wK1Fx2cW2P7VxzdwE9lH7vVhsljhQ6+iJ/au+lbmmtrJVD7jNbw3r1KfsOj3Q55mHVp2mt72FaLNHnh3kV6H7A==" saltValue="vKbAHTdOg1T7bpH+NeJWnA==" spinCount="100000" sheet="1" objects="1" scenarios="1"/>
  <conditionalFormatting sqref="B3:E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5724-4F64-4A8A-9734-847BF2887DFD}">
  <dimension ref="A1:B30"/>
  <sheetViews>
    <sheetView zoomScaleNormal="100" workbookViewId="0">
      <selection activeCell="B6" sqref="B6"/>
    </sheetView>
  </sheetViews>
  <sheetFormatPr baseColWidth="10" defaultRowHeight="14.4" x14ac:dyDescent="0.3"/>
  <cols>
    <col min="1" max="1" width="73.6640625" bestFit="1" customWidth="1"/>
    <col min="2" max="2" width="108.21875" bestFit="1" customWidth="1"/>
  </cols>
  <sheetData>
    <row r="1" spans="1:2" x14ac:dyDescent="0.3">
      <c r="A1" s="5" t="s">
        <v>69</v>
      </c>
    </row>
    <row r="2" spans="1:2" x14ac:dyDescent="0.3">
      <c r="A2" s="5" t="s">
        <v>70</v>
      </c>
      <c r="B2" s="5" t="s">
        <v>71</v>
      </c>
    </row>
    <row r="3" spans="1:2" x14ac:dyDescent="0.3">
      <c r="A3" s="8" t="s">
        <v>72</v>
      </c>
      <c r="B3" s="28" t="s">
        <v>73</v>
      </c>
    </row>
    <row r="4" spans="1:2" ht="28.8" x14ac:dyDescent="0.3">
      <c r="A4" s="8" t="s">
        <v>74</v>
      </c>
      <c r="B4" s="28" t="s">
        <v>75</v>
      </c>
    </row>
    <row r="5" spans="1:2" ht="28.8" x14ac:dyDescent="0.3">
      <c r="A5" s="8" t="s">
        <v>76</v>
      </c>
      <c r="B5" s="28" t="s">
        <v>77</v>
      </c>
    </row>
    <row r="6" spans="1:2" ht="28.8" x14ac:dyDescent="0.3">
      <c r="A6" s="8" t="s">
        <v>78</v>
      </c>
      <c r="B6" s="28" t="s">
        <v>79</v>
      </c>
    </row>
    <row r="7" spans="1:2" x14ac:dyDescent="0.3">
      <c r="B7" s="29"/>
    </row>
    <row r="8" spans="1:2" x14ac:dyDescent="0.3">
      <c r="A8" s="6" t="s">
        <v>80</v>
      </c>
      <c r="B8" s="30"/>
    </row>
    <row r="9" spans="1:2" x14ac:dyDescent="0.3">
      <c r="A9" s="8" t="s">
        <v>81</v>
      </c>
      <c r="B9" s="28" t="s">
        <v>82</v>
      </c>
    </row>
    <row r="10" spans="1:2" x14ac:dyDescent="0.3">
      <c r="A10" s="8" t="s">
        <v>83</v>
      </c>
      <c r="B10" s="28" t="s">
        <v>84</v>
      </c>
    </row>
    <row r="11" spans="1:2" x14ac:dyDescent="0.3">
      <c r="A11" s="8" t="s">
        <v>85</v>
      </c>
      <c r="B11" s="28" t="s">
        <v>86</v>
      </c>
    </row>
    <row r="12" spans="1:2" ht="28.8" x14ac:dyDescent="0.3">
      <c r="A12" s="8" t="s">
        <v>87</v>
      </c>
      <c r="B12" s="28" t="s">
        <v>88</v>
      </c>
    </row>
    <row r="13" spans="1:2" ht="28.8" x14ac:dyDescent="0.3">
      <c r="A13" s="8" t="s">
        <v>89</v>
      </c>
      <c r="B13" s="28" t="s">
        <v>90</v>
      </c>
    </row>
    <row r="14" spans="1:2" x14ac:dyDescent="0.3">
      <c r="A14" s="8" t="s">
        <v>91</v>
      </c>
      <c r="B14" s="28" t="s">
        <v>92</v>
      </c>
    </row>
    <row r="15" spans="1:2" ht="28.8" x14ac:dyDescent="0.3">
      <c r="A15" s="8" t="s">
        <v>93</v>
      </c>
      <c r="B15" s="28" t="s">
        <v>94</v>
      </c>
    </row>
    <row r="16" spans="1:2" ht="28.8" x14ac:dyDescent="0.3">
      <c r="A16" s="8" t="s">
        <v>95</v>
      </c>
      <c r="B16" s="28" t="s">
        <v>96</v>
      </c>
    </row>
    <row r="17" spans="1:2" x14ac:dyDescent="0.3">
      <c r="B17" s="29"/>
    </row>
    <row r="18" spans="1:2" x14ac:dyDescent="0.3">
      <c r="A18" s="6" t="s">
        <v>97</v>
      </c>
      <c r="B18" s="29"/>
    </row>
    <row r="19" spans="1:2" ht="115.2" x14ac:dyDescent="0.3">
      <c r="A19" s="9" t="s">
        <v>98</v>
      </c>
      <c r="B19" s="28" t="s">
        <v>99</v>
      </c>
    </row>
    <row r="20" spans="1:2" x14ac:dyDescent="0.3">
      <c r="A20" s="7"/>
      <c r="B20" s="30"/>
    </row>
    <row r="21" spans="1:2" x14ac:dyDescent="0.3">
      <c r="A21" s="6" t="s">
        <v>100</v>
      </c>
      <c r="B21" s="30"/>
    </row>
    <row r="22" spans="1:2" ht="28.8" x14ac:dyDescent="0.3">
      <c r="A22" s="8" t="s">
        <v>101</v>
      </c>
      <c r="B22" s="28" t="s">
        <v>102</v>
      </c>
    </row>
    <row r="23" spans="1:2" ht="28.8" x14ac:dyDescent="0.3">
      <c r="A23" s="8" t="s">
        <v>103</v>
      </c>
      <c r="B23" s="28" t="s">
        <v>104</v>
      </c>
    </row>
    <row r="24" spans="1:2" ht="28.8" x14ac:dyDescent="0.3">
      <c r="A24" s="8" t="s">
        <v>105</v>
      </c>
      <c r="B24" s="28" t="s">
        <v>106</v>
      </c>
    </row>
    <row r="25" spans="1:2" x14ac:dyDescent="0.3">
      <c r="B25" s="29"/>
    </row>
    <row r="26" spans="1:2" x14ac:dyDescent="0.3">
      <c r="A26" s="6" t="s">
        <v>107</v>
      </c>
      <c r="B26" s="29"/>
    </row>
    <row r="27" spans="1:2" x14ac:dyDescent="0.3">
      <c r="A27" s="8" t="s">
        <v>108</v>
      </c>
      <c r="B27" s="28" t="s">
        <v>112</v>
      </c>
    </row>
    <row r="28" spans="1:2" x14ac:dyDescent="0.3">
      <c r="A28" s="8" t="s">
        <v>109</v>
      </c>
      <c r="B28" s="28" t="s">
        <v>113</v>
      </c>
    </row>
    <row r="29" spans="1:2" ht="28.8" x14ac:dyDescent="0.3">
      <c r="A29" s="8" t="s">
        <v>110</v>
      </c>
      <c r="B29" s="28" t="s">
        <v>114</v>
      </c>
    </row>
    <row r="30" spans="1:2" ht="28.8" x14ac:dyDescent="0.3">
      <c r="A30" s="8" t="s">
        <v>111</v>
      </c>
      <c r="B30" s="28" t="s">
        <v>115</v>
      </c>
    </row>
  </sheetData>
  <sheetProtection algorithmName="SHA-512" hashValue="XMm6Xhwmo0yvct3poZQwCimNwY6REITK4MJ4xrOOezbdijxOPDaD1oK8PdMk37s2wohV3yM60NqoVQcQFsLelg==" saltValue="efvOjh57gUhkkH+yfba8EQ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5A14-AD4A-4345-BFC2-C5782BE2D0E0}">
  <dimension ref="A1:A176"/>
  <sheetViews>
    <sheetView tabSelected="1" zoomScale="70" zoomScaleNormal="70" workbookViewId="0">
      <selection activeCell="R16" sqref="R16"/>
    </sheetView>
  </sheetViews>
  <sheetFormatPr baseColWidth="10" defaultRowHeight="14.4" x14ac:dyDescent="0.3"/>
  <sheetData>
    <row r="1" spans="1:1" x14ac:dyDescent="0.3">
      <c r="A1" t="s">
        <v>65</v>
      </c>
    </row>
    <row r="30" spans="1:1" x14ac:dyDescent="0.3">
      <c r="A30" t="s">
        <v>66</v>
      </c>
    </row>
    <row r="62" spans="1:1" x14ac:dyDescent="0.3">
      <c r="A62" t="s">
        <v>67</v>
      </c>
    </row>
    <row r="100" spans="1:1" x14ac:dyDescent="0.3">
      <c r="A100" t="s">
        <v>68</v>
      </c>
    </row>
    <row r="144" spans="1:1" x14ac:dyDescent="0.3">
      <c r="A144" t="s">
        <v>116</v>
      </c>
    </row>
    <row r="176" spans="1:1" x14ac:dyDescent="0.3">
      <c r="A176" t="s">
        <v>117</v>
      </c>
    </row>
  </sheetData>
  <sheetProtection algorithmName="SHA-512" hashValue="c5I7Hgvy3Dm433IW8dYPSt6eNURHvHBkelrY4YIGLhLIp/+8/gI/BQJ/akbARInjTtWzTVAO+8Lqd1g0880Ldw==" saltValue="5+UazyMVgdY4lQ8jgSt7Ig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7</vt:i4>
      </vt:variant>
    </vt:vector>
  </HeadingPairs>
  <TitlesOfParts>
    <vt:vector size="13" baseType="lpstr">
      <vt:lpstr>Operaciones</vt:lpstr>
      <vt:lpstr>Parametros</vt:lpstr>
      <vt:lpstr>Resumen</vt:lpstr>
      <vt:lpstr>Escenarios</vt:lpstr>
      <vt:lpstr>Decisiones</vt:lpstr>
      <vt:lpstr>Evidencias</vt:lpstr>
      <vt:lpstr>Cobertura_Stock</vt:lpstr>
      <vt:lpstr>Incremento_Costo</vt:lpstr>
      <vt:lpstr>Ingresos_Base</vt:lpstr>
      <vt:lpstr>Margen_Base</vt:lpstr>
      <vt:lpstr>Margen_Escenario</vt:lpstr>
      <vt:lpstr>Tasa_Descuento</vt:lpstr>
      <vt:lpstr>Unidades_Vendidas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LAB-COM2-PC15</dc:creator>
  <cp:lastModifiedBy>Anthony Saravia</cp:lastModifiedBy>
  <dcterms:created xsi:type="dcterms:W3CDTF">2026-10-13T01:34:08Z</dcterms:created>
  <dcterms:modified xsi:type="dcterms:W3CDTF">2026-10-23T19:06:56Z</dcterms:modified>
</cp:coreProperties>
</file>